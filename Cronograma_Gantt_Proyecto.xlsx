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ocuments\Santos Mono\Monografia_2026-2027\"/>
    </mc:Choice>
  </mc:AlternateContent>
  <xr:revisionPtr revIDLastSave="0" documentId="13_ncr:1_{39089F50-C11C-4D30-97BC-CC5FC3D8146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ronograma" sheetId="1" r:id="rId1"/>
  </sheets>
  <definedNames>
    <definedName name="_xlnm._FilterDatabase" localSheetId="0" hidden="1">Cronograma!$A$5:$J$14</definedName>
  </definedNames>
  <calcPr calcId="191029"/>
</workbook>
</file>

<file path=xl/calcChain.xml><?xml version="1.0" encoding="utf-8"?>
<calcChain xmlns="http://schemas.openxmlformats.org/spreadsheetml/2006/main">
  <c r="D6" i="1" l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K5" i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</calcChain>
</file>

<file path=xl/sharedStrings.xml><?xml version="1.0" encoding="utf-8"?>
<sst xmlns="http://schemas.openxmlformats.org/spreadsheetml/2006/main" count="62" uniqueCount="39">
  <si>
    <t>Cronograma del proyecto con vista Gantt</t>
  </si>
  <si>
    <t>Fecha base del proyecto</t>
  </si>
  <si>
    <t>Nota</t>
  </si>
  <si>
    <t>Edita la fecha base en B2 y completa las duraciones faltantes en la columna C. El inicio, fin y la banda Gantt se actualizaran solos.</t>
  </si>
  <si>
    <t>Id</t>
  </si>
  <si>
    <t>Actividad</t>
  </si>
  <si>
    <t>DuracionDias</t>
  </si>
  <si>
    <t>Inicio</t>
  </si>
  <si>
    <t>Fin</t>
  </si>
  <si>
    <t>Predecesora</t>
  </si>
  <si>
    <t>Responsable</t>
  </si>
  <si>
    <t>Entregable</t>
  </si>
  <si>
    <t>Estado</t>
  </si>
  <si>
    <t>Notas</t>
  </si>
  <si>
    <t>Se preparo el entorno</t>
  </si>
  <si>
    <t>Equipo de desarrollo</t>
  </si>
  <si>
    <t>Entorno configurado</t>
  </si>
  <si>
    <t>Completado</t>
  </si>
  <si>
    <t>Duracion confirmada por el usuario</t>
  </si>
  <si>
    <t>Se definio estructura del proyecto</t>
  </si>
  <si>
    <t>Estructura del proyecto definida</t>
  </si>
  <si>
    <t>Se crearon entidades</t>
  </si>
  <si>
    <t>Entidades creadas</t>
  </si>
  <si>
    <t>Falta duracion exacta</t>
  </si>
  <si>
    <t>Se registraron entidades en DbContext y se creo cadena de conexion</t>
  </si>
  <si>
    <t>DbContext y conexion configurados</t>
  </si>
  <si>
    <t>Se crearon los controladores</t>
  </si>
  <si>
    <t>Controladores creados</t>
  </si>
  <si>
    <t>Se crearon tablas de base de datos mediante migracion de .NET Core</t>
  </si>
  <si>
    <t>Base de datos migrada</t>
  </si>
  <si>
    <t>Se crearon los DTOs</t>
  </si>
  <si>
    <t>DTOs creados</t>
  </si>
  <si>
    <t>Se configuro el proyecto para funcionar en modo StandAlone</t>
  </si>
  <si>
    <t>Proyecto configurado como StandAlone</t>
  </si>
  <si>
    <t>Se crearon componentes que se van a utilizar en el proyecto</t>
  </si>
  <si>
    <t>Componentes base creados</t>
  </si>
  <si>
    <t>Leyenda</t>
  </si>
  <si>
    <t>Duracion faltante</t>
  </si>
  <si>
    <t>Barra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</si>
</sst>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dd\-mmm"/>
  </numFmts>
  <fonts count="4" x14ac:knownFonts="1">
    <font>
      <sz val="11"/>
      <color theme="1"/>
      <name val="Calibri"/>
      <family val="2"/>
      <scheme val="minor"/>
    </font>
    <font>
      <b/>
      <sz val="16"/>
      <color rgb="FF1F3A5F"/>
      <name val="Calibri"/>
    </font>
    <font>
      <b/>
      <sz val="11"/>
      <color rgb="FF1F3A5F"/>
      <name val="Calibri"/>
    </font>
    <font>
      <b/>
      <sz val="9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AF1FF"/>
      </patternFill>
    </fill>
    <fill>
      <patternFill patternType="solid">
        <fgColor rgb="FFF3F4F6"/>
      </patternFill>
    </fill>
    <fill>
      <patternFill patternType="solid">
        <fgColor rgb="FFFFF4CC"/>
      </patternFill>
    </fill>
    <fill>
      <patternFill patternType="solid">
        <fgColor rgb="FF2F6BFF"/>
      </patternFill>
    </fill>
    <fill>
      <patternFill patternType="solid">
        <fgColor rgb="FFFFFFFF"/>
      </patternFill>
    </fill>
    <fill>
      <patternFill patternType="solid">
        <fgColor rgb="FFF5C96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65" fontId="0" fillId="2" borderId="0" xfId="0" applyNumberFormat="1" applyFill="1"/>
    <xf numFmtId="0" fontId="2" fillId="4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0" xfId="0" applyFill="1"/>
    <xf numFmtId="0" fontId="0" fillId="8" borderId="0" xfId="0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3" borderId="0" xfId="0" applyFill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5C96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6"/>
  <sheetViews>
    <sheetView showGridLines="0" tabSelected="1" workbookViewId="0">
      <pane xSplit="10" ySplit="5" topLeftCell="K6" activePane="bottomRight" state="frozen"/>
      <selection pane="topRight"/>
      <selection pane="bottomLeft"/>
      <selection pane="bottomRight" activeCell="AH22" sqref="AH22"/>
    </sheetView>
  </sheetViews>
  <sheetFormatPr baseColWidth="10" defaultColWidth="9.140625" defaultRowHeight="15" x14ac:dyDescent="0.25"/>
  <cols>
    <col min="1" max="1" width="22.5703125" bestFit="1" customWidth="1"/>
    <col min="2" max="2" width="42" customWidth="1"/>
    <col min="3" max="5" width="14" customWidth="1"/>
    <col min="6" max="6" width="12" customWidth="1"/>
    <col min="7" max="7" width="22" customWidth="1"/>
    <col min="8" max="8" width="28" customWidth="1"/>
    <col min="9" max="9" width="14" customWidth="1"/>
    <col min="10" max="10" width="28" customWidth="1"/>
    <col min="11" max="28" width="6.42578125" bestFit="1" customWidth="1"/>
    <col min="29" max="50" width="5.42578125" bestFit="1" customWidth="1"/>
  </cols>
  <sheetData>
    <row r="1" spans="1:50" ht="27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50" ht="24" customHeight="1" x14ac:dyDescent="0.25">
      <c r="A2" s="1" t="s">
        <v>1</v>
      </c>
      <c r="B2" s="2">
        <v>46148</v>
      </c>
    </row>
    <row r="3" spans="1:50" ht="39.950000000000003" customHeight="1" x14ac:dyDescent="0.25">
      <c r="A3" s="1" t="s">
        <v>2</v>
      </c>
      <c r="B3" s="14" t="s">
        <v>3</v>
      </c>
      <c r="C3" s="13"/>
      <c r="D3" s="13"/>
      <c r="E3" s="13"/>
      <c r="F3" s="13"/>
      <c r="G3" s="13"/>
      <c r="H3" s="13"/>
      <c r="I3" s="13"/>
      <c r="J3" s="13"/>
    </row>
    <row r="4" spans="1:50" ht="24" customHeight="1" x14ac:dyDescent="0.25"/>
    <row r="5" spans="1:50" ht="24" customHeigh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4">
        <f>$B$2</f>
        <v>46148</v>
      </c>
      <c r="L5" s="4">
        <f t="shared" ref="L5:AX5" si="0">WORKDAY(K5,1)</f>
        <v>46149</v>
      </c>
      <c r="M5" s="4">
        <f t="shared" si="0"/>
        <v>46150</v>
      </c>
      <c r="N5" s="4">
        <f t="shared" si="0"/>
        <v>46153</v>
      </c>
      <c r="O5" s="4">
        <f t="shared" si="0"/>
        <v>46154</v>
      </c>
      <c r="P5" s="4">
        <f t="shared" si="0"/>
        <v>46155</v>
      </c>
      <c r="Q5" s="4">
        <f t="shared" si="0"/>
        <v>46156</v>
      </c>
      <c r="R5" s="4">
        <f t="shared" si="0"/>
        <v>46157</v>
      </c>
      <c r="S5" s="4">
        <f t="shared" si="0"/>
        <v>46160</v>
      </c>
      <c r="T5" s="4">
        <f t="shared" si="0"/>
        <v>46161</v>
      </c>
      <c r="U5" s="4">
        <f t="shared" si="0"/>
        <v>46162</v>
      </c>
      <c r="V5" s="4">
        <f t="shared" si="0"/>
        <v>46163</v>
      </c>
      <c r="W5" s="4">
        <f t="shared" si="0"/>
        <v>46164</v>
      </c>
      <c r="X5" s="4">
        <f t="shared" si="0"/>
        <v>46167</v>
      </c>
      <c r="Y5" s="4">
        <f t="shared" si="0"/>
        <v>46168</v>
      </c>
      <c r="Z5" s="4">
        <f t="shared" si="0"/>
        <v>46169</v>
      </c>
      <c r="AA5" s="4">
        <f t="shared" si="0"/>
        <v>46170</v>
      </c>
      <c r="AB5" s="4">
        <f t="shared" si="0"/>
        <v>46171</v>
      </c>
      <c r="AC5" s="4">
        <f t="shared" si="0"/>
        <v>46174</v>
      </c>
      <c r="AD5" s="4">
        <f t="shared" si="0"/>
        <v>46175</v>
      </c>
      <c r="AE5" s="4">
        <f t="shared" si="0"/>
        <v>46176</v>
      </c>
      <c r="AF5" s="4">
        <f t="shared" si="0"/>
        <v>46177</v>
      </c>
      <c r="AG5" s="4">
        <f t="shared" si="0"/>
        <v>46178</v>
      </c>
      <c r="AH5" s="4">
        <f t="shared" si="0"/>
        <v>46181</v>
      </c>
      <c r="AI5" s="4">
        <f t="shared" si="0"/>
        <v>46182</v>
      </c>
      <c r="AJ5" s="4">
        <f t="shared" si="0"/>
        <v>46183</v>
      </c>
      <c r="AK5" s="4">
        <f t="shared" si="0"/>
        <v>46184</v>
      </c>
      <c r="AL5" s="4">
        <f t="shared" si="0"/>
        <v>46185</v>
      </c>
      <c r="AM5" s="4">
        <f t="shared" si="0"/>
        <v>46188</v>
      </c>
      <c r="AN5" s="4">
        <f t="shared" si="0"/>
        <v>46189</v>
      </c>
      <c r="AO5" s="4">
        <f t="shared" si="0"/>
        <v>46190</v>
      </c>
      <c r="AP5" s="4">
        <f t="shared" si="0"/>
        <v>46191</v>
      </c>
      <c r="AQ5" s="4">
        <f t="shared" si="0"/>
        <v>46192</v>
      </c>
      <c r="AR5" s="4">
        <f t="shared" si="0"/>
        <v>46195</v>
      </c>
      <c r="AS5" s="4">
        <f t="shared" si="0"/>
        <v>46196</v>
      </c>
      <c r="AT5" s="4">
        <f t="shared" si="0"/>
        <v>46197</v>
      </c>
      <c r="AU5" s="4">
        <f t="shared" si="0"/>
        <v>46198</v>
      </c>
      <c r="AV5" s="4">
        <f t="shared" si="0"/>
        <v>46199</v>
      </c>
      <c r="AW5" s="4">
        <f t="shared" si="0"/>
        <v>46202</v>
      </c>
      <c r="AX5" s="4">
        <f t="shared" si="0"/>
        <v>46203</v>
      </c>
    </row>
    <row r="6" spans="1:50" ht="24" customHeight="1" x14ac:dyDescent="0.25">
      <c r="A6" s="5">
        <v>1</v>
      </c>
      <c r="B6" s="5" t="s">
        <v>14</v>
      </c>
      <c r="C6" s="5">
        <v>2</v>
      </c>
      <c r="D6" s="6">
        <f>IF($C6="","",$B$2)</f>
        <v>46148</v>
      </c>
      <c r="E6" s="6">
        <f t="shared" ref="E6:E14" si="1">IF(OR($C6="",$D6=""),"",WORKDAY($D6,$C6-1))</f>
        <v>46149</v>
      </c>
      <c r="F6" s="5"/>
      <c r="G6" s="5" t="s">
        <v>15</v>
      </c>
      <c r="H6" s="5" t="s">
        <v>16</v>
      </c>
      <c r="I6" s="7" t="s">
        <v>17</v>
      </c>
      <c r="J6" s="5" t="s">
        <v>18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24" customHeight="1" x14ac:dyDescent="0.25">
      <c r="A7" s="5">
        <v>2</v>
      </c>
      <c r="B7" s="5" t="s">
        <v>19</v>
      </c>
      <c r="C7" s="5">
        <v>1</v>
      </c>
      <c r="D7" s="6">
        <f t="shared" ref="D7:D14" si="2">IF($F7="","",IFERROR(WORKDAY(INDEX($E$6:$E$14,MATCH($F7,$A$6:$A$14,0)),1),""))</f>
        <v>46150</v>
      </c>
      <c r="E7" s="6">
        <f t="shared" si="1"/>
        <v>46150</v>
      </c>
      <c r="F7" s="5">
        <v>1</v>
      </c>
      <c r="G7" s="5" t="s">
        <v>15</v>
      </c>
      <c r="H7" s="5" t="s">
        <v>20</v>
      </c>
      <c r="I7" s="7" t="s">
        <v>17</v>
      </c>
      <c r="J7" s="5" t="s">
        <v>18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24" customHeight="1" x14ac:dyDescent="0.25">
      <c r="A8" s="5">
        <v>3</v>
      </c>
      <c r="B8" s="5" t="s">
        <v>21</v>
      </c>
      <c r="C8" s="9"/>
      <c r="D8" s="6">
        <f t="shared" si="2"/>
        <v>46153</v>
      </c>
      <c r="E8" s="6" t="str">
        <f t="shared" si="1"/>
        <v/>
      </c>
      <c r="F8" s="5">
        <v>2</v>
      </c>
      <c r="G8" s="5" t="s">
        <v>15</v>
      </c>
      <c r="H8" s="5" t="s">
        <v>22</v>
      </c>
      <c r="I8" s="7" t="s">
        <v>17</v>
      </c>
      <c r="J8" s="5" t="s">
        <v>23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24" customHeight="1" x14ac:dyDescent="0.25">
      <c r="A9" s="5">
        <v>4</v>
      </c>
      <c r="B9" s="5" t="s">
        <v>24</v>
      </c>
      <c r="C9" s="9"/>
      <c r="D9" s="6" t="str">
        <f t="shared" si="2"/>
        <v/>
      </c>
      <c r="E9" s="6" t="str">
        <f t="shared" si="1"/>
        <v/>
      </c>
      <c r="F9" s="5">
        <v>3</v>
      </c>
      <c r="G9" s="5" t="s">
        <v>15</v>
      </c>
      <c r="H9" s="5" t="s">
        <v>25</v>
      </c>
      <c r="I9" s="7" t="s">
        <v>17</v>
      </c>
      <c r="J9" s="5" t="s">
        <v>23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24" customHeight="1" x14ac:dyDescent="0.25">
      <c r="A10" s="5">
        <v>5</v>
      </c>
      <c r="B10" s="5" t="s">
        <v>26</v>
      </c>
      <c r="C10" s="9"/>
      <c r="D10" s="6" t="str">
        <f t="shared" si="2"/>
        <v/>
      </c>
      <c r="E10" s="6" t="str">
        <f t="shared" si="1"/>
        <v/>
      </c>
      <c r="F10" s="5">
        <v>4</v>
      </c>
      <c r="G10" s="5" t="s">
        <v>15</v>
      </c>
      <c r="H10" s="5" t="s">
        <v>27</v>
      </c>
      <c r="I10" s="7" t="s">
        <v>17</v>
      </c>
      <c r="J10" s="5" t="s">
        <v>23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24" customHeight="1" x14ac:dyDescent="0.25">
      <c r="A11" s="5">
        <v>6</v>
      </c>
      <c r="B11" s="5" t="s">
        <v>28</v>
      </c>
      <c r="C11" s="9"/>
      <c r="D11" s="6" t="str">
        <f t="shared" si="2"/>
        <v/>
      </c>
      <c r="E11" s="6" t="str">
        <f t="shared" si="1"/>
        <v/>
      </c>
      <c r="F11" s="5">
        <v>5</v>
      </c>
      <c r="G11" s="5" t="s">
        <v>15</v>
      </c>
      <c r="H11" s="5" t="s">
        <v>29</v>
      </c>
      <c r="I11" s="7" t="s">
        <v>17</v>
      </c>
      <c r="J11" s="5" t="s">
        <v>23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24" customHeight="1" x14ac:dyDescent="0.25">
      <c r="A12" s="5">
        <v>7</v>
      </c>
      <c r="B12" s="5" t="s">
        <v>30</v>
      </c>
      <c r="C12" s="9"/>
      <c r="D12" s="6" t="str">
        <f t="shared" si="2"/>
        <v/>
      </c>
      <c r="E12" s="6" t="str">
        <f t="shared" si="1"/>
        <v/>
      </c>
      <c r="F12" s="5">
        <v>6</v>
      </c>
      <c r="G12" s="5" t="s">
        <v>15</v>
      </c>
      <c r="H12" s="5" t="s">
        <v>31</v>
      </c>
      <c r="I12" s="7" t="s">
        <v>17</v>
      </c>
      <c r="J12" s="5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24" customHeight="1" x14ac:dyDescent="0.25">
      <c r="A13" s="5">
        <v>8</v>
      </c>
      <c r="B13" s="5" t="s">
        <v>32</v>
      </c>
      <c r="C13" s="9"/>
      <c r="D13" s="6" t="str">
        <f t="shared" si="2"/>
        <v/>
      </c>
      <c r="E13" s="6" t="str">
        <f t="shared" si="1"/>
        <v/>
      </c>
      <c r="F13" s="5">
        <v>7</v>
      </c>
      <c r="G13" s="5" t="s">
        <v>15</v>
      </c>
      <c r="H13" s="5" t="s">
        <v>33</v>
      </c>
      <c r="I13" s="7" t="s">
        <v>17</v>
      </c>
      <c r="J13" s="5" t="s">
        <v>23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24" customHeight="1" x14ac:dyDescent="0.25">
      <c r="A14" s="5">
        <v>9</v>
      </c>
      <c r="B14" s="5" t="s">
        <v>34</v>
      </c>
      <c r="C14" s="9"/>
      <c r="D14" s="6" t="str">
        <f t="shared" si="2"/>
        <v/>
      </c>
      <c r="E14" s="6" t="str">
        <f t="shared" si="1"/>
        <v/>
      </c>
      <c r="F14" s="5">
        <v>8</v>
      </c>
      <c r="G14" s="5" t="s">
        <v>15</v>
      </c>
      <c r="H14" s="5" t="s">
        <v>35</v>
      </c>
      <c r="I14" s="7" t="s">
        <v>17</v>
      </c>
      <c r="J14" s="5" t="s">
        <v>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6" spans="1:50" x14ac:dyDescent="0.25">
      <c r="A16" s="1" t="s">
        <v>36</v>
      </c>
      <c r="B16" s="10" t="s">
        <v>37</v>
      </c>
      <c r="D16" s="11" t="s">
        <v>38</v>
      </c>
    </row>
  </sheetData>
  <autoFilter ref="A5:J14" xr:uid="{00000000-0009-0000-0000-000000000000}"/>
  <mergeCells count="2">
    <mergeCell ref="A1:J1"/>
    <mergeCell ref="B3:J3"/>
  </mergeCells>
  <conditionalFormatting sqref="K6:AX14">
    <cfRule type="expression" dxfId="0" priority="1" stopIfTrue="1">
      <formula>AND(K$5&gt;=$D6,K$5&lt;=$E6)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López Rayo</cp:lastModifiedBy>
  <dcterms:created xsi:type="dcterms:W3CDTF">2026-05-07T05:23:33Z</dcterms:created>
  <dcterms:modified xsi:type="dcterms:W3CDTF">2026-05-07T05:25:52Z</dcterms:modified>
</cp:coreProperties>
</file>